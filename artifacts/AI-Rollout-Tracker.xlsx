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ave Metrics" sheetId="1" state="visible" r:id="rId3"/>
    <sheet name="Champions" sheetId="2" state="visible" r:id="rId4"/>
    <sheet name="Impact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<sst xmlns="http://schemas.openxmlformats.org/spreadsheetml/2006/main" count="100" uniqueCount="97">
  <si>
    <t xml:space="preserve">Wave metrics and expansion gate</t>
  </si>
  <si>
    <t xml:space="preserve">SAMPLE DATA - illustrative only. Replace blue cells with your own telemetry and survey results.</t>
  </si>
  <si>
    <t xml:space="preserve">Wave</t>
  </si>
  <si>
    <t xml:space="preserve">Population</t>
  </si>
  <si>
    <t xml:space="preserve">Licensed devs</t>
  </si>
  <si>
    <t xml:space="preserve">Active (28d)</t>
  </si>
  <si>
    <t xml:space="preserve">Suggestions shown</t>
  </si>
  <si>
    <t xml:space="preserve">Suggestions accepted</t>
  </si>
  <si>
    <t xml:space="preserve">Satisfaction (1-5)</t>
  </si>
  <si>
    <t xml:space="preserve">Trust (1-5)</t>
  </si>
  <si>
    <t xml:space="preserve">Change failure rate</t>
  </si>
  <si>
    <t xml:space="preserve">Revert rate</t>
  </si>
  <si>
    <t xml:space="preserve">Activation</t>
  </si>
  <si>
    <t xml:space="preserve">Acceptance rate</t>
  </si>
  <si>
    <t xml:space="preserve">Gates passed (of 5)</t>
  </si>
  <si>
    <t xml:space="preserve">Decision</t>
  </si>
  <si>
    <t xml:space="preserve">Wave 0</t>
  </si>
  <si>
    <t xml:space="preserve">Platform + security pilot</t>
  </si>
  <si>
    <t xml:space="preserve">Wave 1</t>
  </si>
  <si>
    <t xml:space="preserve">Pilot teams + champions</t>
  </si>
  <si>
    <t xml:space="preserve">Wave 2</t>
  </si>
  <si>
    <t xml:space="preserve">~40% of engineering</t>
  </si>
  <si>
    <t xml:space="preserve">Wave 3</t>
  </si>
  <si>
    <t xml:space="preserve">Remaining engineering</t>
  </si>
  <si>
    <t xml:space="preserve">Total</t>
  </si>
  <si>
    <t xml:space="preserve">Champion network</t>
  </si>
  <si>
    <t xml:space="preserve">SAMPLE DATA. Coverage check flags waves with too few champions.</t>
  </si>
  <si>
    <t xml:space="preserve">Champion</t>
  </si>
  <si>
    <t xml:space="preserve">Team</t>
  </si>
  <si>
    <t xml:space="preserve">Hours / week</t>
  </si>
  <si>
    <t xml:space="preserve">Sessions held</t>
  </si>
  <si>
    <t xml:space="preserve">Issues raised</t>
  </si>
  <si>
    <t xml:space="preserve">Cohort NPS</t>
  </si>
  <si>
    <t xml:space="preserve">Champion A</t>
  </si>
  <si>
    <t xml:space="preserve">Payments</t>
  </si>
  <si>
    <t xml:space="preserve">Champion B</t>
  </si>
  <si>
    <t xml:space="preserve">Platform</t>
  </si>
  <si>
    <t xml:space="preserve">Champion C</t>
  </si>
  <si>
    <t xml:space="preserve">Mobile</t>
  </si>
  <si>
    <t xml:space="preserve">Champion G</t>
  </si>
  <si>
    <t xml:space="preserve">Security</t>
  </si>
  <si>
    <t xml:space="preserve">Champion D</t>
  </si>
  <si>
    <t xml:space="preserve">Data</t>
  </si>
  <si>
    <t xml:space="preserve">Champion E</t>
  </si>
  <si>
    <t xml:space="preserve">Web</t>
  </si>
  <si>
    <t xml:space="preserve">Champion F</t>
  </si>
  <si>
    <t xml:space="preserve">Identity</t>
  </si>
  <si>
    <t xml:space="preserve">Developers</t>
  </si>
  <si>
    <t xml:space="preserve">Champions</t>
  </si>
  <si>
    <t xml:space="preserve">Devs per champion</t>
  </si>
  <si>
    <t xml:space="preserve">Coverage</t>
  </si>
  <si>
    <t xml:space="preserve">Impact model: difference-in-differences and value range</t>
  </si>
  <si>
    <t xml:space="preserve">SAMPLE DATA. Treated = AI users, control = matched teams that waited. Use a delivery metric where LOWER is better (e.g., PR cycle time, hours).</t>
  </si>
  <si>
    <t xml:space="preserve">Metric (lower is better)</t>
  </si>
  <si>
    <t xml:space="preserve">Treated pre</t>
  </si>
  <si>
    <t xml:space="preserve">Treated post</t>
  </si>
  <si>
    <t xml:space="preserve">Control pre</t>
  </si>
  <si>
    <t xml:space="preserve">Control post</t>
  </si>
  <si>
    <t xml:space="preserve">Treated change</t>
  </si>
  <si>
    <t xml:space="preserve">Control change</t>
  </si>
  <si>
    <t xml:space="preserve">Effect (DiD)</t>
  </si>
  <si>
    <t xml:space="preserve">Effect %</t>
  </si>
  <si>
    <t xml:space="preserve">PR cycle time (hours)</t>
  </si>
  <si>
    <t xml:space="preserve">Value model (haircut self-reports; report as a range)</t>
  </si>
  <si>
    <t xml:space="preserve">Input</t>
  </si>
  <si>
    <t xml:space="preserve">Low</t>
  </si>
  <si>
    <t xml:space="preserve">Base</t>
  </si>
  <si>
    <t xml:space="preserve">High</t>
  </si>
  <si>
    <t xml:space="preserve">Developers on tool</t>
  </si>
  <si>
    <t xml:space="preserve">Hours saved per dev per week (survey-calibrated)</t>
  </si>
  <si>
    <t xml:space="preserve">Haircut on self-reported hours</t>
  </si>
  <si>
    <t xml:space="preserve">Working weeks per year</t>
  </si>
  <si>
    <t xml:space="preserve">Loaded cost per hour ($)</t>
  </si>
  <si>
    <t xml:space="preserve">Annual tool + infra cost ($)</t>
  </si>
  <si>
    <t xml:space="preserve">Net annual value ($)</t>
  </si>
  <si>
    <t xml:space="preserve">ROI (value / cost)</t>
  </si>
  <si>
    <t xml:space="preserve">Note: productivity gains in one metric can coexist with stability losses elsewhere. Keep the change-failure and revert guardrails on the Wave Metrics sheet.</t>
  </si>
  <si>
    <t xml:space="preserve">Gate thresholds (defaults - calibrate after Wave 0)</t>
  </si>
  <si>
    <t xml:space="preserve">Blue = input you can change. A wave expands only if every gate passes.</t>
  </si>
  <si>
    <t xml:space="preserve">Gate</t>
  </si>
  <si>
    <t xml:space="preserve">Value</t>
  </si>
  <si>
    <t xml:space="preserve">Meaning</t>
  </si>
  <si>
    <t xml:space="preserve">Min activation (28-day active / licensed)</t>
  </si>
  <si>
    <t xml:space="preserve">Share of licensed developers who used the tool in the last 28 days</t>
  </si>
  <si>
    <t xml:space="preserve">Min satisfaction (1-5 survey)</t>
  </si>
  <si>
    <t xml:space="preserve">Average developer satisfaction</t>
  </si>
  <si>
    <t xml:space="preserve">Min trust (1-5 survey)</t>
  </si>
  <si>
    <t xml:space="preserve">Trust in AI output</t>
  </si>
  <si>
    <t xml:space="preserve">Max change-failure-rate increase vs baseline</t>
  </si>
  <si>
    <t xml:space="preserve">Relative increase allowed vs pre-rollout baseline</t>
  </si>
  <si>
    <t xml:space="preserve">Max revert-rate increase vs baseline</t>
  </si>
  <si>
    <t xml:space="preserve">Baseline change failure rate</t>
  </si>
  <si>
    <t xml:space="preserve">Measured before rollout (DORA)</t>
  </si>
  <si>
    <t xml:space="preserve">Baseline revert rate</t>
  </si>
  <si>
    <t xml:space="preserve">Measured before rollout</t>
  </si>
  <si>
    <t xml:space="preserve">Max developers per champion</t>
  </si>
  <si>
    <t xml:space="preserve">Champion coverage guardrail (default 15-25)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</si>
</sst>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%"/>
    <numFmt numFmtId="169" formatCode="\$#,##0"/>
    <numFmt numFmtId="170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Cambria"/>
      <family val="0"/>
      <charset val="1"/>
    </font>
    <font>
      <i val="true"/>
      <sz val="11"/>
      <color rgb="FF64748B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D4ED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2A4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BBF7D0"/>
        </patternFill>
      </fill>
    </dxf>
    <dxf>
      <fill>
        <patternFill>
          <bgColor rgb="FFFDE68A"/>
        </patternFill>
      </fill>
    </dxf>
    <dxf>
      <fill>
        <patternFill>
          <bgColor rgb="FFFCA5A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DE68A"/>
      <rgbColor rgb="FF99CCFF"/>
      <rgbColor rgb="FFFCA5A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5" t="n">
        <v>25</v>
      </c>
      <c r="D5" s="5" t="n">
        <v>23</v>
      </c>
      <c r="E5" s="6" t="n">
        <v>18200</v>
      </c>
      <c r="F5" s="6" t="n">
        <v>5600</v>
      </c>
      <c r="G5" s="5" t="n">
        <v>4.4</v>
      </c>
      <c r="H5" s="5" t="n">
        <v>3.9</v>
      </c>
      <c r="I5" s="7" t="n">
        <v>0.115</v>
      </c>
      <c r="J5" s="7" t="n">
        <v>0.038</v>
      </c>
      <c r="K5" s="8" t="n">
        <f aca="false">IF(C5=0,0,D5/C5)</f>
        <v>0.92</v>
      </c>
      <c r="L5" s="8" t="n">
        <f aca="false">IF(E5=0,0,F5/E5)</f>
        <v>0.307692307692308</v>
      </c>
      <c r="M5" s="9" t="n">
        <f aca="false">IF(D5=0,0,(K5&gt;=Settings!$B$5)+(G5&gt;=Settings!$B$6)+(H5&gt;=Settings!$B$7)+(I5&lt;=Settings!$B$10*(1+Settings!$B$8))+(J5&lt;=Settings!$B$11*(1+Settings!$B$9)))</f>
        <v>5</v>
      </c>
      <c r="N5" s="9" t="str">
        <f aca="false">IF(D5=0,"NOT STARTED",IF(M5=5,"EXPAND",IF(M5&gt;=3,"HOLD - FIX GAPS","STOP AND REVIEW")))</f>
        <v>EXPAND</v>
      </c>
    </row>
    <row r="6" customFormat="false" ht="15" hidden="false" customHeight="false" outlineLevel="0" collapsed="false">
      <c r="A6" s="4" t="s">
        <v>18</v>
      </c>
      <c r="B6" s="4" t="s">
        <v>19</v>
      </c>
      <c r="C6" s="5" t="n">
        <v>80</v>
      </c>
      <c r="D6" s="5" t="n">
        <v>58</v>
      </c>
      <c r="E6" s="6" t="n">
        <v>52000</v>
      </c>
      <c r="F6" s="6" t="n">
        <v>14700</v>
      </c>
      <c r="G6" s="5" t="n">
        <v>4.2</v>
      </c>
      <c r="H6" s="5" t="n">
        <v>3.7</v>
      </c>
      <c r="I6" s="7" t="n">
        <v>0.121</v>
      </c>
      <c r="J6" s="7" t="n">
        <v>0.041</v>
      </c>
      <c r="K6" s="8" t="n">
        <f aca="false">IF(C6=0,0,D6/C6)</f>
        <v>0.725</v>
      </c>
      <c r="L6" s="8" t="n">
        <f aca="false">IF(E6=0,0,F6/E6)</f>
        <v>0.282692307692308</v>
      </c>
      <c r="M6" s="9" t="n">
        <f aca="false">IF(D6=0,0,(K6&gt;=Settings!$B$5)+(G6&gt;=Settings!$B$6)+(H6&gt;=Settings!$B$7)+(I6&lt;=Settings!$B$10*(1+Settings!$B$8))+(J6&lt;=Settings!$B$11*(1+Settings!$B$9)))</f>
        <v>5</v>
      </c>
      <c r="N6" s="9" t="str">
        <f aca="false">IF(D6=0,"NOT STARTED",IF(M6=5,"EXPAND",IF(M6&gt;=3,"HOLD - FIX GAPS","STOP AND REVIEW")))</f>
        <v>EXPAND</v>
      </c>
    </row>
    <row r="7" customFormat="false" ht="15" hidden="false" customHeight="false" outlineLevel="0" collapsed="false">
      <c r="A7" s="4" t="s">
        <v>20</v>
      </c>
      <c r="B7" s="4" t="s">
        <v>21</v>
      </c>
      <c r="C7" s="5" t="n">
        <v>160</v>
      </c>
      <c r="D7" s="5" t="n">
        <v>104</v>
      </c>
      <c r="E7" s="6" t="n">
        <v>96000</v>
      </c>
      <c r="F7" s="6" t="n">
        <v>24000</v>
      </c>
      <c r="G7" s="5" t="n">
        <v>3.9</v>
      </c>
      <c r="H7" s="5" t="n">
        <v>3.5</v>
      </c>
      <c r="I7" s="7" t="n">
        <v>0.128</v>
      </c>
      <c r="J7" s="7" t="n">
        <v>0.043</v>
      </c>
      <c r="K7" s="8" t="n">
        <f aca="false">IF(C7=0,0,D7/C7)</f>
        <v>0.65</v>
      </c>
      <c r="L7" s="8" t="n">
        <f aca="false">IF(E7=0,0,F7/E7)</f>
        <v>0.25</v>
      </c>
      <c r="M7" s="9" t="n">
        <f aca="false">IF(D7=0,0,(K7&gt;=Settings!$B$5)+(G7&gt;=Settings!$B$6)+(H7&gt;=Settings!$B$7)+(I7&lt;=Settings!$B$10*(1+Settings!$B$8))+(J7&lt;=Settings!$B$11*(1+Settings!$B$9)))</f>
        <v>4</v>
      </c>
      <c r="N7" s="9" t="str">
        <f aca="false">IF(D7=0,"NOT STARTED",IF(M7=5,"EXPAND",IF(M7&gt;=3,"HOLD - FIX GAPS","STOP AND REVIEW")))</f>
        <v>HOLD - FIX GAPS</v>
      </c>
    </row>
    <row r="8" customFormat="false" ht="15" hidden="false" customHeight="false" outlineLevel="0" collapsed="false">
      <c r="A8" s="4" t="s">
        <v>22</v>
      </c>
      <c r="B8" s="4" t="s">
        <v>23</v>
      </c>
      <c r="C8" s="5" t="n">
        <v>135</v>
      </c>
      <c r="D8" s="5" t="n">
        <v>0</v>
      </c>
      <c r="E8" s="6" t="n">
        <v>0</v>
      </c>
      <c r="F8" s="6" t="n">
        <v>0</v>
      </c>
      <c r="G8" s="5" t="n">
        <v>0</v>
      </c>
      <c r="H8" s="5" t="n">
        <v>0</v>
      </c>
      <c r="I8" s="7" t="n">
        <v>0</v>
      </c>
      <c r="J8" s="7" t="n">
        <v>0</v>
      </c>
      <c r="K8" s="8" t="n">
        <f aca="false">IF(C8=0,0,D8/C8)</f>
        <v>0</v>
      </c>
      <c r="L8" s="8" t="n">
        <f aca="false">IF(E8=0,0,F8/E8)</f>
        <v>0</v>
      </c>
      <c r="M8" s="9" t="n">
        <f aca="false">IF(D8=0,0,(K8&gt;=Settings!$B$5)+(G8&gt;=Settings!$B$6)+(H8&gt;=Settings!$B$7)+(I8&lt;=Settings!$B$10*(1+Settings!$B$8))+(J8&lt;=Settings!$B$11*(1+Settings!$B$9)))</f>
        <v>0</v>
      </c>
      <c r="N8" s="9" t="str">
        <f aca="false">IF(D8=0,"NOT STARTED",IF(M8=5,"EXPAND",IF(M8&gt;=3,"HOLD - FIX GAPS","STOP AND REVIEW")))</f>
        <v>NOT STARTED</v>
      </c>
    </row>
    <row r="9" customFormat="false" ht="15" hidden="false" customHeight="false" outlineLevel="0" collapsed="false">
      <c r="A9" s="10" t="s">
        <v>24</v>
      </c>
      <c r="C9" s="10" t="n">
        <f aca="false">SUM(C5:C8)</f>
        <v>400</v>
      </c>
      <c r="D9" s="10" t="n">
        <f aca="false">SUM(D5:D8)</f>
        <v>185</v>
      </c>
      <c r="E9" s="11" t="n">
        <f aca="false">SUM(E5:E8)</f>
        <v>166200</v>
      </c>
      <c r="F9" s="11" t="n">
        <f aca="false">SUM(F5:F8)</f>
        <v>44300</v>
      </c>
      <c r="K9" s="12" t="n">
        <f aca="false">IF(C9=0,0,D9/C9)</f>
        <v>0.4625</v>
      </c>
      <c r="L9" s="12" t="n">
        <f aca="false">IF(E9=0,0,F9/E9)</f>
        <v>0.266546329723225</v>
      </c>
    </row>
  </sheetData>
  <conditionalFormatting sqref="N5:N8">
    <cfRule type="expression" priority="2" aboveAverage="0" equalAverage="0" bottom="0" percent="0" rank="0" text="" dxfId="0">
      <formula>$N5="EXPAND"</formula>
    </cfRule>
    <cfRule type="expression" priority="3" aboveAverage="0" equalAverage="0" bottom="0" percent="0" rank="0" text="" dxfId="1">
      <formula>LEFT($N5,4)="HOLD"</formula>
    </cfRule>
    <cfRule type="expression" priority="4" aboveAverage="0" equalAverage="0" bottom="0" percent="0" rank="0" text="" dxfId="2">
      <formula>$N5="STOP AND 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27</v>
      </c>
      <c r="B4" s="3" t="s">
        <v>28</v>
      </c>
      <c r="C4" s="3" t="s">
        <v>2</v>
      </c>
      <c r="D4" s="3" t="s">
        <v>29</v>
      </c>
      <c r="E4" s="3" t="s">
        <v>30</v>
      </c>
      <c r="F4" s="3" t="s">
        <v>31</v>
      </c>
      <c r="G4" s="3" t="s">
        <v>32</v>
      </c>
    </row>
    <row r="5" customFormat="false" ht="15" hidden="false" customHeight="false" outlineLevel="0" collapsed="false">
      <c r="A5" s="4" t="s">
        <v>33</v>
      </c>
      <c r="B5" s="4" t="s">
        <v>34</v>
      </c>
      <c r="C5" s="5" t="n">
        <v>1</v>
      </c>
      <c r="D5" s="5" t="n">
        <v>4</v>
      </c>
      <c r="E5" s="5" t="n">
        <v>6</v>
      </c>
      <c r="F5" s="5" t="n">
        <v>9</v>
      </c>
      <c r="G5" s="5" t="n">
        <v>42</v>
      </c>
    </row>
    <row r="6" customFormat="false" ht="15" hidden="false" customHeight="false" outlineLevel="0" collapsed="false">
      <c r="A6" s="4" t="s">
        <v>35</v>
      </c>
      <c r="B6" s="4" t="s">
        <v>36</v>
      </c>
      <c r="C6" s="5" t="n">
        <v>1</v>
      </c>
      <c r="D6" s="5" t="n">
        <v>4</v>
      </c>
      <c r="E6" s="5" t="n">
        <v>8</v>
      </c>
      <c r="F6" s="5" t="n">
        <v>14</v>
      </c>
      <c r="G6" s="5" t="n">
        <v>55</v>
      </c>
    </row>
    <row r="7" customFormat="false" ht="15" hidden="false" customHeight="false" outlineLevel="0" collapsed="false">
      <c r="A7" s="4" t="s">
        <v>37</v>
      </c>
      <c r="B7" s="4" t="s">
        <v>38</v>
      </c>
      <c r="C7" s="5" t="n">
        <v>1</v>
      </c>
      <c r="D7" s="5" t="n">
        <v>3</v>
      </c>
      <c r="E7" s="5" t="n">
        <v>5</v>
      </c>
      <c r="F7" s="5" t="n">
        <v>6</v>
      </c>
      <c r="G7" s="5" t="n">
        <v>31</v>
      </c>
    </row>
    <row r="8" customFormat="false" ht="15" hidden="false" customHeight="false" outlineLevel="0" collapsed="false">
      <c r="A8" s="4" t="s">
        <v>39</v>
      </c>
      <c r="B8" s="4" t="s">
        <v>40</v>
      </c>
      <c r="C8" s="5" t="n">
        <v>1</v>
      </c>
      <c r="D8" s="5" t="n">
        <v>2</v>
      </c>
      <c r="E8" s="5" t="n">
        <v>3</v>
      </c>
      <c r="F8" s="5" t="n">
        <v>4</v>
      </c>
      <c r="G8" s="5" t="n">
        <v>38</v>
      </c>
    </row>
    <row r="9" customFormat="false" ht="15" hidden="false" customHeight="false" outlineLevel="0" collapsed="false">
      <c r="A9" s="4" t="s">
        <v>41</v>
      </c>
      <c r="B9" s="4" t="s">
        <v>42</v>
      </c>
      <c r="C9" s="5" t="n">
        <v>2</v>
      </c>
      <c r="D9" s="5" t="n">
        <v>4</v>
      </c>
      <c r="E9" s="5" t="n">
        <v>4</v>
      </c>
      <c r="F9" s="5" t="n">
        <v>7</v>
      </c>
      <c r="G9" s="5" t="n">
        <v>28</v>
      </c>
    </row>
    <row r="10" customFormat="false" ht="15" hidden="false" customHeight="false" outlineLevel="0" collapsed="false">
      <c r="A10" s="4" t="s">
        <v>43</v>
      </c>
      <c r="B10" s="4" t="s">
        <v>44</v>
      </c>
      <c r="C10" s="5" t="n">
        <v>2</v>
      </c>
      <c r="D10" s="5" t="n">
        <v>3</v>
      </c>
      <c r="E10" s="5" t="n">
        <v>5</v>
      </c>
      <c r="F10" s="5" t="n">
        <v>5</v>
      </c>
      <c r="G10" s="5" t="n">
        <v>36</v>
      </c>
    </row>
    <row r="11" customFormat="false" ht="15" hidden="false" customHeight="false" outlineLevel="0" collapsed="false">
      <c r="A11" s="4" t="s">
        <v>45</v>
      </c>
      <c r="B11" s="4" t="s">
        <v>46</v>
      </c>
      <c r="C11" s="5" t="n">
        <v>2</v>
      </c>
      <c r="D11" s="5" t="n">
        <v>4</v>
      </c>
      <c r="E11" s="5" t="n">
        <v>3</v>
      </c>
      <c r="F11" s="5" t="n">
        <v>8</v>
      </c>
      <c r="G11" s="5" t="n">
        <v>22</v>
      </c>
    </row>
    <row r="13" customFormat="false" ht="23.85" hidden="false" customHeight="false" outlineLevel="0" collapsed="false">
      <c r="A13" s="3" t="s">
        <v>2</v>
      </c>
      <c r="B13" s="3" t="s">
        <v>47</v>
      </c>
      <c r="C13" s="3" t="s">
        <v>48</v>
      </c>
      <c r="D13" s="3" t="s">
        <v>49</v>
      </c>
      <c r="E13" s="3" t="s">
        <v>50</v>
      </c>
    </row>
    <row r="14" customFormat="false" ht="15" hidden="false" customHeight="false" outlineLevel="0" collapsed="false">
      <c r="A14" s="4" t="n">
        <v>1</v>
      </c>
      <c r="B14" s="9" t="n">
        <f aca="false">INDEX('Wave Metrics'!$C$5:$C$8,A14+1)</f>
        <v>80</v>
      </c>
      <c r="C14" s="9" t="n">
        <f aca="false">COUNTIF($C$5:$C$40,A14)</f>
        <v>4</v>
      </c>
      <c r="D14" s="13" t="n">
        <f aca="false">IF(C14=0,"NO CHAMPIONS",B14/C14)</f>
        <v>20</v>
      </c>
      <c r="E14" s="9" t="str">
        <f aca="false">IF(C14=0,"GAP",IF(D14&lt;=Settings!$B$12,"OK","ADD CHAMPIONS"))</f>
        <v>OK</v>
      </c>
    </row>
    <row r="15" customFormat="false" ht="15" hidden="false" customHeight="false" outlineLevel="0" collapsed="false">
      <c r="A15" s="4" t="n">
        <v>2</v>
      </c>
      <c r="B15" s="9" t="n">
        <f aca="false">INDEX('Wave Metrics'!$C$5:$C$8,A15+1)</f>
        <v>160</v>
      </c>
      <c r="C15" s="9" t="n">
        <f aca="false">COUNTIF($C$5:$C$40,A15)</f>
        <v>3</v>
      </c>
      <c r="D15" s="13" t="n">
        <f aca="false">IF(C15=0,"NO CHAMPIONS",B15/C15)</f>
        <v>53.3333333333333</v>
      </c>
      <c r="E15" s="9" t="str">
        <f aca="false">IF(C15=0,"GAP",IF(D15&lt;=Settings!$B$12,"OK","ADD CHAMPIONS"))</f>
        <v>ADD CHAMPIONS</v>
      </c>
    </row>
  </sheetData>
  <conditionalFormatting sqref="E14:E15">
    <cfRule type="expression" priority="2" aboveAverage="0" equalAverage="0" bottom="0" percent="0" rank="0" text="" dxfId="0">
      <formula>$E14="OK"</formula>
    </cfRule>
    <cfRule type="expression" priority="3" aboveAverage="0" equalAverage="0" bottom="0" percent="0" rank="0" text="" dxfId="2">
      <formula>$E14&lt;&gt;"OK"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2"/>
    <col collapsed="false" customWidth="true" hidden="false" outlineLevel="0" max="7" min="6" style="0" width="15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</row>
    <row r="5" customFormat="false" ht="15" hidden="false" customHeight="false" outlineLevel="0" collapsed="false">
      <c r="A5" s="0" t="s">
        <v>62</v>
      </c>
      <c r="B5" s="5" t="n">
        <v>30</v>
      </c>
      <c r="C5" s="5" t="n">
        <v>21</v>
      </c>
      <c r="D5" s="5" t="n">
        <v>29</v>
      </c>
      <c r="E5" s="5" t="n">
        <v>27.5</v>
      </c>
      <c r="F5" s="9" t="n">
        <f aca="false">C5-B5</f>
        <v>-9</v>
      </c>
      <c r="G5" s="9" t="n">
        <f aca="false">E5-D5</f>
        <v>-1.5</v>
      </c>
      <c r="H5" s="9" t="n">
        <f aca="false">F5-G5</f>
        <v>-7.5</v>
      </c>
      <c r="I5" s="8" t="n">
        <f aca="false">H5/B5</f>
        <v>-0.25</v>
      </c>
    </row>
    <row r="8" customFormat="false" ht="15" hidden="false" customHeight="false" outlineLevel="0" collapsed="false">
      <c r="A8" s="14" t="s">
        <v>63</v>
      </c>
    </row>
    <row r="9" customFormat="false" ht="15" hidden="false" customHeight="false" outlineLevel="0" collapsed="false">
      <c r="A9" s="3" t="s">
        <v>64</v>
      </c>
      <c r="B9" s="3" t="s">
        <v>65</v>
      </c>
      <c r="C9" s="3" t="s">
        <v>66</v>
      </c>
      <c r="D9" s="3" t="s">
        <v>67</v>
      </c>
    </row>
    <row r="10" customFormat="false" ht="15" hidden="false" customHeight="false" outlineLevel="0" collapsed="false">
      <c r="A10" s="4" t="s">
        <v>68</v>
      </c>
      <c r="B10" s="5" t="n">
        <v>300</v>
      </c>
      <c r="C10" s="5" t="n">
        <v>300</v>
      </c>
      <c r="D10" s="5" t="n">
        <v>300</v>
      </c>
    </row>
    <row r="11" customFormat="false" ht="15" hidden="false" customHeight="false" outlineLevel="0" collapsed="false">
      <c r="A11" s="4" t="s">
        <v>69</v>
      </c>
      <c r="B11" s="5" t="n">
        <v>1</v>
      </c>
      <c r="C11" s="5" t="n">
        <v>2</v>
      </c>
      <c r="D11" s="5" t="n">
        <v>3</v>
      </c>
    </row>
    <row r="12" customFormat="false" ht="15" hidden="false" customHeight="false" outlineLevel="0" collapsed="false">
      <c r="A12" s="4" t="s">
        <v>70</v>
      </c>
      <c r="B12" s="15" t="n">
        <v>0.5</v>
      </c>
      <c r="C12" s="15" t="n">
        <v>0.35</v>
      </c>
      <c r="D12" s="15" t="n">
        <v>0.2</v>
      </c>
    </row>
    <row r="13" customFormat="false" ht="15" hidden="false" customHeight="false" outlineLevel="0" collapsed="false">
      <c r="A13" s="4" t="s">
        <v>71</v>
      </c>
      <c r="B13" s="5" t="n">
        <v>46</v>
      </c>
      <c r="C13" s="5" t="n">
        <v>46</v>
      </c>
      <c r="D13" s="5" t="n">
        <v>46</v>
      </c>
    </row>
    <row r="14" customFormat="false" ht="15" hidden="false" customHeight="false" outlineLevel="0" collapsed="false">
      <c r="A14" s="4" t="s">
        <v>72</v>
      </c>
      <c r="B14" s="5" t="n">
        <v>95</v>
      </c>
      <c r="C14" s="5" t="n">
        <v>95</v>
      </c>
      <c r="D14" s="5" t="n">
        <v>95</v>
      </c>
    </row>
    <row r="15" customFormat="false" ht="15" hidden="false" customHeight="false" outlineLevel="0" collapsed="false">
      <c r="A15" s="4" t="s">
        <v>73</v>
      </c>
      <c r="B15" s="5" t="n">
        <v>180000</v>
      </c>
      <c r="C15" s="5" t="n">
        <v>180000</v>
      </c>
      <c r="D15" s="5" t="n">
        <v>180000</v>
      </c>
    </row>
    <row r="16" customFormat="false" ht="15" hidden="false" customHeight="false" outlineLevel="0" collapsed="false">
      <c r="A16" s="10" t="s">
        <v>74</v>
      </c>
      <c r="B16" s="16" t="n">
        <f aca="false">B10*B11*(1-B12)*B13*B14-B15</f>
        <v>475500</v>
      </c>
      <c r="C16" s="16" t="n">
        <f aca="false">C10*C11*(1-C12)*C13*C14-C15</f>
        <v>1524300</v>
      </c>
      <c r="D16" s="16" t="n">
        <f aca="false">D10*D11*(1-D12)*D13*D14-D15</f>
        <v>2966400</v>
      </c>
    </row>
    <row r="17" customFormat="false" ht="15" hidden="false" customHeight="false" outlineLevel="0" collapsed="false">
      <c r="A17" s="10" t="s">
        <v>75</v>
      </c>
      <c r="B17" s="17" t="n">
        <f aca="false">IF(B15=0,0,B16/B15)</f>
        <v>2.64166666666667</v>
      </c>
      <c r="C17" s="17" t="n">
        <f aca="false">IF(C15=0,0,C16/C15)</f>
        <v>8.46833333333333</v>
      </c>
      <c r="D17" s="17" t="n">
        <f aca="false">IF(D15=0,0,D16/D15)</f>
        <v>16.48</v>
      </c>
    </row>
    <row r="19" customFormat="false" ht="15" hidden="false" customHeight="false" outlineLevel="0" collapsed="false">
      <c r="A19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3" t="s">
        <v>79</v>
      </c>
      <c r="B4" s="3" t="s">
        <v>80</v>
      </c>
      <c r="C4" s="3" t="s">
        <v>81</v>
      </c>
    </row>
    <row r="5" customFormat="false" ht="15" hidden="false" customHeight="false" outlineLevel="0" collapsed="false">
      <c r="A5" s="4" t="s">
        <v>82</v>
      </c>
      <c r="B5" s="15" t="n">
        <v>0.6</v>
      </c>
      <c r="C5" s="4" t="s">
        <v>83</v>
      </c>
    </row>
    <row r="6" customFormat="false" ht="15" hidden="false" customHeight="false" outlineLevel="0" collapsed="false">
      <c r="A6" s="4" t="s">
        <v>84</v>
      </c>
      <c r="B6" s="5" t="n">
        <v>4</v>
      </c>
      <c r="C6" s="4" t="s">
        <v>85</v>
      </c>
    </row>
    <row r="7" customFormat="false" ht="15" hidden="false" customHeight="false" outlineLevel="0" collapsed="false">
      <c r="A7" s="4" t="s">
        <v>86</v>
      </c>
      <c r="B7" s="5" t="n">
        <v>3.5</v>
      </c>
      <c r="C7" s="4" t="s">
        <v>87</v>
      </c>
    </row>
    <row r="8" customFormat="false" ht="15" hidden="false" customHeight="false" outlineLevel="0" collapsed="false">
      <c r="A8" s="4" t="s">
        <v>88</v>
      </c>
      <c r="B8" s="15" t="n">
        <v>0.1</v>
      </c>
      <c r="C8" s="4" t="s">
        <v>89</v>
      </c>
    </row>
    <row r="9" customFormat="false" ht="15" hidden="false" customHeight="false" outlineLevel="0" collapsed="false">
      <c r="A9" s="4" t="s">
        <v>90</v>
      </c>
      <c r="B9" s="15" t="n">
        <v>0.1</v>
      </c>
      <c r="C9" s="4" t="s">
        <v>89</v>
      </c>
    </row>
    <row r="10" customFormat="false" ht="15" hidden="false" customHeight="false" outlineLevel="0" collapsed="false">
      <c r="A10" s="4" t="s">
        <v>91</v>
      </c>
      <c r="B10" s="15" t="n">
        <v>0.12</v>
      </c>
      <c r="C10" s="4" t="s">
        <v>92</v>
      </c>
    </row>
    <row r="11" customFormat="false" ht="15" hidden="false" customHeight="false" outlineLevel="0" collapsed="false">
      <c r="A11" s="4" t="s">
        <v>93</v>
      </c>
      <c r="B11" s="15" t="n">
        <v>0.04</v>
      </c>
      <c r="C11" s="4" t="s">
        <v>94</v>
      </c>
    </row>
    <row r="12" customFormat="false" ht="15" hidden="false" customHeight="false" outlineLevel="0" collapsed="false">
      <c r="A12" s="4" t="s">
        <v>95</v>
      </c>
      <c r="B12" s="5" t="n">
        <v>25</v>
      </c>
      <c r="C12" s="4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2026-10-13T17:28:02Z</dcterms:created>
  <dc:creator>openpyxl</dc:creator>
  <dc:description/>
  <dc:language>en-US</dc:language>
  <cp:lastModifiedBy/>
  <dcterms:modified xsi:type="dcterms:W3CDTF">2026-10-13T17:28:02Z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