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ard Gates" sheetId="1" state="visible" r:id="rId3"/>
    <sheet name="Decision Matrix" sheetId="2" state="visible" r:id="rId4"/>
    <sheet name="TC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<sst xmlns="http://schemas.openxmlformats.org/spreadsheetml/2006/main" count="79" uniqueCount="70">
  <si>
    <t xml:space="preserve">Step 1: hard gates (eliminate before scoring)</t>
  </si>
  <si>
    <t xml:space="preserve">SAMPLE DATA. Y = option passes the gate. An option that fails any gate cannot win, however well it scores.</t>
  </si>
  <si>
    <t xml:space="preserve">Option</t>
  </si>
  <si>
    <t xml:space="preserve">Data residency met</t>
  </si>
  <si>
    <t xml:space="preserve">License allows our use</t>
  </si>
  <si>
    <t xml:space="preserve">Meets min eval pass rate</t>
  </si>
  <si>
    <t xml:space="preserve">Eligible?</t>
  </si>
  <si>
    <t xml:space="preserve">Hosted API (frontier model)</t>
  </si>
  <si>
    <t xml:space="preserve">N</t>
  </si>
  <si>
    <t xml:space="preserve">Y</t>
  </si>
  <si>
    <t xml:space="preserve">SaaS coding assistant</t>
  </si>
  <si>
    <t xml:space="preserve">Self-hosted open-weights model</t>
  </si>
  <si>
    <t xml:space="preserve">Scenario note: this sample assumes source code may not leave the company boundary, which is what makes the hosted options fail residency. Change the Y/N values to match your constraints.</t>
  </si>
  <si>
    <t xml:space="preserve">Step 2: weighted scoring (1-5, higher is better)</t>
  </si>
  <si>
    <t xml:space="preserve">SAMPLE DATA. Weights are defaults and must total 100%. Ineligible options are shown but cannot win.</t>
  </si>
  <si>
    <t xml:space="preserve">Criterion</t>
  </si>
  <si>
    <t xml:space="preserve">Weight</t>
  </si>
  <si>
    <t xml:space="preserve">Hosted API</t>
  </si>
  <si>
    <t xml:space="preserve">SaaS assistant</t>
  </si>
  <si>
    <t xml:space="preserve">Self-hosted</t>
  </si>
  <si>
    <t xml:space="preserve">Data sensitivity / residency</t>
  </si>
  <si>
    <t xml:space="preserve">Quality on our own evals</t>
  </si>
  <si>
    <t xml:space="preserve">3-year TCO</t>
  </si>
  <si>
    <t xml:space="preserve">Latency / throughput</t>
  </si>
  <si>
    <t xml:space="preserve">License terms</t>
  </si>
  <si>
    <t xml:space="preserve">Ops burden / skills needed</t>
  </si>
  <si>
    <t xml:space="preserve">Lock-in / exit cost</t>
  </si>
  <si>
    <t xml:space="preserve">Security certifications</t>
  </si>
  <si>
    <t xml:space="preserve">Vendor roadmap</t>
  </si>
  <si>
    <t xml:space="preserve">Weights total</t>
  </si>
  <si>
    <t xml:space="preserve">Weighted score</t>
  </si>
  <si>
    <t xml:space="preserve">Score if eligible</t>
  </si>
  <si>
    <t xml:space="preserve">Recommended option</t>
  </si>
  <si>
    <t xml:space="preserve">Flip check: eligible options within 0.25 of the leader</t>
  </si>
  <si>
    <t xml:space="preserve">If this is above 0, the call is close. Revisit in 90 days; model prices and quality move fast.</t>
  </si>
  <si>
    <t xml:space="preserve">Step 3: 3-year TCO and break-even</t>
  </si>
  <si>
    <t xml:space="preserve">SAMPLE DATA. Illustrative numbers only; replace with quotes and your own staffing costs.</t>
  </si>
  <si>
    <t xml:space="preserve">Input</t>
  </si>
  <si>
    <t xml:space="preserve">Value</t>
  </si>
  <si>
    <t xml:space="preserve">Note</t>
  </si>
  <si>
    <t xml:space="preserve">Developers</t>
  </si>
  <si>
    <t xml:space="preserve">Seats / users</t>
  </si>
  <si>
    <t xml:space="preserve">Requests per developer per day</t>
  </si>
  <si>
    <t xml:space="preserve">Completions + chat + agent steps</t>
  </si>
  <si>
    <t xml:space="preserve">Working days per year</t>
  </si>
  <si>
    <t xml:space="preserve">Hosted cost per 1,000 requests ($)</t>
  </si>
  <si>
    <t xml:space="preserve">Blended in/out token cost</t>
  </si>
  <si>
    <t xml:space="preserve">Eval pass rate - hosted</t>
  </si>
  <si>
    <t xml:space="preserve">From your golden set</t>
  </si>
  <si>
    <t xml:space="preserve">Eval pass rate - self-hosted</t>
  </si>
  <si>
    <t xml:space="preserve">Self-hosted GPU / cloud per year ($)</t>
  </si>
  <si>
    <t xml:space="preserve">Amortized capex or reserved cloud</t>
  </si>
  <si>
    <t xml:space="preserve">Self-hosted MLOps FTEs</t>
  </si>
  <si>
    <t xml:space="preserve">Loaded cost per FTE ($)</t>
  </si>
  <si>
    <t xml:space="preserve">Self-hosted marginal cost per 1,000 requests ($)</t>
  </si>
  <si>
    <t xml:space="preserve">Power, bandwidth, overhead</t>
  </si>
  <si>
    <t xml:space="preserve">Annual volume growth</t>
  </si>
  <si>
    <t xml:space="preserve">Applied to requests in years 2 and 3</t>
  </si>
  <si>
    <t xml:space="preserve">Year 1</t>
  </si>
  <si>
    <t xml:space="preserve">Year 2</t>
  </si>
  <si>
    <t xml:space="preserve">Year 3</t>
  </si>
  <si>
    <t xml:space="preserve">3-year total</t>
  </si>
  <si>
    <t xml:space="preserve">Requests (thousands)</t>
  </si>
  <si>
    <t xml:space="preserve">Hosted cost ($)</t>
  </si>
  <si>
    <t xml:space="preserve">Self-hosted cost ($)</t>
  </si>
  <si>
    <t xml:space="preserve">Cost per successful task - hosted ($)</t>
  </si>
  <si>
    <t xml:space="preserve">Cost per successful task - self-hosted ($)</t>
  </si>
  <si>
    <t xml:space="preserve">Break-even volume (thousands of requests / year)</t>
  </si>
  <si>
    <t xml:space="preserve">Year-1 volume vs break-even</t>
  </si>
  <si>
    <t xml:space="preserve">Self-hosting usually wins only on strict data control, high steady volume, or a need to fine-tune. The cheapest option is not the best if the quality gap costs you rework.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</si>
</sst>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"/>
    <numFmt numFmtId="167" formatCode="#,##0"/>
    <numFmt numFmtId="168" formatCode="\$#,##0"/>
    <numFmt numFmtId="169" formatCode="\$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Cambria"/>
      <family val="0"/>
      <charset val="1"/>
    </font>
    <font>
      <i val="true"/>
      <sz val="11"/>
      <color rgb="FF64748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D4ED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2A44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BF7D0"/>
        </patternFill>
      </fill>
    </dxf>
    <dxf>
      <fill>
        <patternFill>
          <bgColor rgb="FFFC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5" t="s">
        <v>9</v>
      </c>
      <c r="E5" s="6" t="str">
        <f aca="false">IF(AND(B5="Y",C5="Y",D5="Y"),"ELIGIBLE","ELIMINATED")</f>
        <v>ELIMINATED</v>
      </c>
    </row>
    <row r="6" customFormat="false" ht="15" hidden="false" customHeight="false" outlineLevel="0" collapsed="false">
      <c r="A6" s="4" t="s">
        <v>10</v>
      </c>
      <c r="B6" s="5" t="s">
        <v>8</v>
      </c>
      <c r="C6" s="5" t="s">
        <v>9</v>
      </c>
      <c r="D6" s="5" t="s">
        <v>9</v>
      </c>
      <c r="E6" s="6" t="str">
        <f aca="false">IF(AND(B6="Y",C6="Y",D6="Y"),"ELIGIBLE","ELIMINATED")</f>
        <v>ELIMINATED</v>
      </c>
    </row>
    <row r="7" customFormat="false" ht="15" hidden="false" customHeight="false" outlineLevel="0" collapsed="false">
      <c r="A7" s="4" t="s">
        <v>11</v>
      </c>
      <c r="B7" s="5" t="s">
        <v>9</v>
      </c>
      <c r="C7" s="5" t="s">
        <v>9</v>
      </c>
      <c r="D7" s="5" t="s">
        <v>9</v>
      </c>
      <c r="E7" s="6" t="str">
        <f aca="false">IF(AND(B7="Y",C7="Y",D7="Y"),"ELIGIBLE","ELIMINATED")</f>
        <v>ELIGIBLE</v>
      </c>
    </row>
    <row r="9" customFormat="false" ht="15" hidden="false" customHeight="false" outlineLevel="0" collapsed="false">
      <c r="A9" s="2" t="s">
        <v>12</v>
      </c>
    </row>
  </sheetData>
  <conditionalFormatting sqref="E5:E7">
    <cfRule type="expression" priority="2" aboveAverage="0" equalAverage="0" bottom="0" percent="0" rank="0" text="" dxfId="0">
      <formula>$E5="ELIGIBLE"</formula>
    </cfRule>
    <cfRule type="expression" priority="3" aboveAverage="0" equalAverage="0" bottom="0" percent="0" rank="0" text="" dxfId="1">
      <formula>$E5="ELIMINATED"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15" hidden="false" customHeight="false" outlineLevel="0" collapsed="false">
      <c r="A5" s="4" t="s">
        <v>20</v>
      </c>
      <c r="B5" s="7" t="n">
        <v>0.2</v>
      </c>
      <c r="C5" s="5" t="n">
        <v>3</v>
      </c>
      <c r="D5" s="5" t="n">
        <v>2</v>
      </c>
      <c r="E5" s="5" t="n">
        <v>5</v>
      </c>
    </row>
    <row r="6" customFormat="false" ht="15" hidden="false" customHeight="false" outlineLevel="0" collapsed="false">
      <c r="A6" s="4" t="s">
        <v>21</v>
      </c>
      <c r="B6" s="7" t="n">
        <v>0.2</v>
      </c>
      <c r="C6" s="5" t="n">
        <v>5</v>
      </c>
      <c r="D6" s="5" t="n">
        <v>4</v>
      </c>
      <c r="E6" s="5" t="n">
        <v>3</v>
      </c>
    </row>
    <row r="7" customFormat="false" ht="15" hidden="false" customHeight="false" outlineLevel="0" collapsed="false">
      <c r="A7" s="4" t="s">
        <v>22</v>
      </c>
      <c r="B7" s="7" t="n">
        <v>0.15</v>
      </c>
      <c r="C7" s="5" t="n">
        <v>3</v>
      </c>
      <c r="D7" s="5" t="n">
        <v>3</v>
      </c>
      <c r="E7" s="5" t="n">
        <v>4</v>
      </c>
    </row>
    <row r="8" customFormat="false" ht="15" hidden="false" customHeight="false" outlineLevel="0" collapsed="false">
      <c r="A8" s="4" t="s">
        <v>23</v>
      </c>
      <c r="B8" s="7" t="n">
        <v>0.1</v>
      </c>
      <c r="C8" s="5" t="n">
        <v>4</v>
      </c>
      <c r="D8" s="5" t="n">
        <v>4</v>
      </c>
      <c r="E8" s="5" t="n">
        <v>3</v>
      </c>
    </row>
    <row r="9" customFormat="false" ht="15" hidden="false" customHeight="false" outlineLevel="0" collapsed="false">
      <c r="A9" s="4" t="s">
        <v>24</v>
      </c>
      <c r="B9" s="7" t="n">
        <v>0.1</v>
      </c>
      <c r="C9" s="5" t="n">
        <v>4</v>
      </c>
      <c r="D9" s="5" t="n">
        <v>3</v>
      </c>
      <c r="E9" s="5" t="n">
        <v>4</v>
      </c>
    </row>
    <row r="10" customFormat="false" ht="15" hidden="false" customHeight="false" outlineLevel="0" collapsed="false">
      <c r="A10" s="4" t="s">
        <v>25</v>
      </c>
      <c r="B10" s="7" t="n">
        <v>0.1</v>
      </c>
      <c r="C10" s="5" t="n">
        <v>5</v>
      </c>
      <c r="D10" s="5" t="n">
        <v>5</v>
      </c>
      <c r="E10" s="5" t="n">
        <v>2</v>
      </c>
    </row>
    <row r="11" customFormat="false" ht="15" hidden="false" customHeight="false" outlineLevel="0" collapsed="false">
      <c r="A11" s="4" t="s">
        <v>26</v>
      </c>
      <c r="B11" s="7" t="n">
        <v>0.05</v>
      </c>
      <c r="C11" s="5" t="n">
        <v>2</v>
      </c>
      <c r="D11" s="5" t="n">
        <v>2</v>
      </c>
      <c r="E11" s="5" t="n">
        <v>5</v>
      </c>
    </row>
    <row r="12" customFormat="false" ht="15" hidden="false" customHeight="false" outlineLevel="0" collapsed="false">
      <c r="A12" s="4" t="s">
        <v>27</v>
      </c>
      <c r="B12" s="7" t="n">
        <v>0.05</v>
      </c>
      <c r="C12" s="5" t="n">
        <v>5</v>
      </c>
      <c r="D12" s="5" t="n">
        <v>4</v>
      </c>
      <c r="E12" s="5" t="n">
        <v>3</v>
      </c>
    </row>
    <row r="13" customFormat="false" ht="15" hidden="false" customHeight="false" outlineLevel="0" collapsed="false">
      <c r="A13" s="4" t="s">
        <v>28</v>
      </c>
      <c r="B13" s="7" t="n">
        <v>0.05</v>
      </c>
      <c r="C13" s="5" t="n">
        <v>5</v>
      </c>
      <c r="D13" s="5" t="n">
        <v>4</v>
      </c>
      <c r="E13" s="5" t="n">
        <v>3</v>
      </c>
    </row>
    <row r="14" customFormat="false" ht="15" hidden="false" customHeight="false" outlineLevel="0" collapsed="false">
      <c r="A14" s="8" t="s">
        <v>29</v>
      </c>
      <c r="B14" s="9" t="n">
        <f aca="false">SUM(B5:B13)</f>
        <v>1</v>
      </c>
      <c r="C14" s="0" t="str">
        <f aca="false">IF(ROUND(B14,4)=1,"OK","WEIGHTS MUST TOTAL 100%")</f>
        <v>OK</v>
      </c>
    </row>
    <row r="15" customFormat="false" ht="15" hidden="false" customHeight="false" outlineLevel="0" collapsed="false">
      <c r="A15" s="8" t="s">
        <v>30</v>
      </c>
      <c r="C15" s="10" t="n">
        <f aca="false">SUMPRODUCT($B$5:$B$13,C5:C13)</f>
        <v>3.95</v>
      </c>
      <c r="D15" s="10" t="n">
        <f aca="false">SUMPRODUCT($B$5:$B$13,D5:D13)</f>
        <v>3.35</v>
      </c>
      <c r="E15" s="10" t="n">
        <f aca="false">SUMPRODUCT($B$5:$B$13,E5:E13)</f>
        <v>3.65</v>
      </c>
    </row>
    <row r="16" customFormat="false" ht="15" hidden="false" customHeight="false" outlineLevel="0" collapsed="false">
      <c r="A16" s="8" t="s">
        <v>6</v>
      </c>
      <c r="C16" s="6" t="str">
        <f aca="false">'Hard Gates'!E5</f>
        <v>ELIMINATED</v>
      </c>
      <c r="D16" s="6" t="str">
        <f aca="false">'Hard Gates'!E6</f>
        <v>ELIMINATED</v>
      </c>
      <c r="E16" s="6" t="str">
        <f aca="false">'Hard Gates'!E7</f>
        <v>ELIGIBLE</v>
      </c>
    </row>
    <row r="17" customFormat="false" ht="15" hidden="false" customHeight="false" outlineLevel="0" collapsed="false">
      <c r="A17" s="8" t="s">
        <v>31</v>
      </c>
      <c r="C17" s="10" t="n">
        <f aca="false">IF(C16="ELIGIBLE",C15,0)</f>
        <v>0</v>
      </c>
      <c r="D17" s="10" t="n">
        <f aca="false">IF(D16="ELIGIBLE",D15,0)</f>
        <v>0</v>
      </c>
      <c r="E17" s="10" t="n">
        <f aca="false">IF(E16="ELIGIBLE",E15,0)</f>
        <v>3.65</v>
      </c>
    </row>
    <row r="19" customFormat="false" ht="15" hidden="false" customHeight="false" outlineLevel="0" collapsed="false">
      <c r="A19" s="11" t="s">
        <v>32</v>
      </c>
      <c r="B19" s="12" t="str">
        <f aca="false">IF(MAX(C17:E17)=0,"NO ELIGIBLE OPTION",INDEX(C4:E4,MATCH(MAX(C17:E17),C17:E17,0)))</f>
        <v>Self-hosted</v>
      </c>
    </row>
    <row r="20" customFormat="false" ht="15" hidden="false" customHeight="false" outlineLevel="0" collapsed="false">
      <c r="A20" s="13" t="s">
        <v>33</v>
      </c>
      <c r="B20" s="0" t="n">
        <f aca="false">COUNTIF(C17:E17,"&gt;="&amp;(MAX(C17:E17)-0.25))-1</f>
        <v>0</v>
      </c>
    </row>
    <row r="21" customFormat="false" ht="15" hidden="false" customHeight="false" outlineLevel="0" collapsed="false">
      <c r="A21" s="2" t="s">
        <v>34</v>
      </c>
    </row>
  </sheetData>
  <conditionalFormatting sqref="C16:E16">
    <cfRule type="expression" priority="2" aboveAverage="0" equalAverage="0" bottom="0" percent="0" rank="0" text="" dxfId="0">
      <formula>C$16="ELIGIBLE"</formula>
    </cfRule>
    <cfRule type="expression" priority="3" aboveAverage="0" equalAverage="0" bottom="0" percent="0" rank="0" text="" dxfId="1">
      <formula>C$16="ELIMINATED"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39</v>
      </c>
    </row>
    <row r="5" customFormat="false" ht="15" hidden="false" customHeight="false" outlineLevel="0" collapsed="false">
      <c r="A5" s="4" t="s">
        <v>40</v>
      </c>
      <c r="B5" s="5" t="n">
        <v>400</v>
      </c>
      <c r="C5" s="4" t="s">
        <v>41</v>
      </c>
    </row>
    <row r="6" customFormat="false" ht="15" hidden="false" customHeight="false" outlineLevel="0" collapsed="false">
      <c r="A6" s="4" t="s">
        <v>42</v>
      </c>
      <c r="B6" s="5" t="n">
        <v>60</v>
      </c>
      <c r="C6" s="4" t="s">
        <v>43</v>
      </c>
    </row>
    <row r="7" customFormat="false" ht="15" hidden="false" customHeight="false" outlineLevel="0" collapsed="false">
      <c r="A7" s="4" t="s">
        <v>44</v>
      </c>
      <c r="B7" s="5" t="n">
        <v>230</v>
      </c>
      <c r="C7" s="4"/>
    </row>
    <row r="8" customFormat="false" ht="15" hidden="false" customHeight="false" outlineLevel="0" collapsed="false">
      <c r="A8" s="4" t="s">
        <v>45</v>
      </c>
      <c r="B8" s="5" t="n">
        <v>3.5</v>
      </c>
      <c r="C8" s="4" t="s">
        <v>46</v>
      </c>
    </row>
    <row r="9" customFormat="false" ht="15" hidden="false" customHeight="false" outlineLevel="0" collapsed="false">
      <c r="A9" s="4" t="s">
        <v>47</v>
      </c>
      <c r="B9" s="7" t="n">
        <v>0.82</v>
      </c>
      <c r="C9" s="4" t="s">
        <v>48</v>
      </c>
    </row>
    <row r="10" customFormat="false" ht="15" hidden="false" customHeight="false" outlineLevel="0" collapsed="false">
      <c r="A10" s="4" t="s">
        <v>49</v>
      </c>
      <c r="B10" s="7" t="n">
        <v>0.74</v>
      </c>
      <c r="C10" s="4" t="s">
        <v>48</v>
      </c>
    </row>
    <row r="11" customFormat="false" ht="15" hidden="false" customHeight="false" outlineLevel="0" collapsed="false">
      <c r="A11" s="4" t="s">
        <v>50</v>
      </c>
      <c r="B11" s="5" t="n">
        <v>420000</v>
      </c>
      <c r="C11" s="4" t="s">
        <v>51</v>
      </c>
    </row>
    <row r="12" customFormat="false" ht="15" hidden="false" customHeight="false" outlineLevel="0" collapsed="false">
      <c r="A12" s="4" t="s">
        <v>52</v>
      </c>
      <c r="B12" s="5" t="n">
        <v>2</v>
      </c>
      <c r="C12" s="4"/>
    </row>
    <row r="13" customFormat="false" ht="15" hidden="false" customHeight="false" outlineLevel="0" collapsed="false">
      <c r="A13" s="4" t="s">
        <v>53</v>
      </c>
      <c r="B13" s="5" t="n">
        <v>230000</v>
      </c>
      <c r="C13" s="4"/>
    </row>
    <row r="14" customFormat="false" ht="15" hidden="false" customHeight="false" outlineLevel="0" collapsed="false">
      <c r="A14" s="4" t="s">
        <v>54</v>
      </c>
      <c r="B14" s="7" t="n">
        <v>0.35</v>
      </c>
      <c r="C14" s="4" t="s">
        <v>55</v>
      </c>
    </row>
    <row r="15" customFormat="false" ht="15" hidden="false" customHeight="false" outlineLevel="0" collapsed="false">
      <c r="A15" s="4" t="s">
        <v>56</v>
      </c>
      <c r="B15" s="7" t="n">
        <v>0.25</v>
      </c>
      <c r="C15" s="4" t="s">
        <v>57</v>
      </c>
    </row>
    <row r="17" customFormat="false" ht="15" hidden="false" customHeight="false" outlineLevel="0" collapsed="false">
      <c r="A17" s="3"/>
      <c r="B17" s="3" t="s">
        <v>58</v>
      </c>
      <c r="C17" s="3" t="s">
        <v>59</v>
      </c>
      <c r="D17" s="3" t="s">
        <v>60</v>
      </c>
      <c r="E17" s="3" t="s">
        <v>61</v>
      </c>
    </row>
    <row r="18" customFormat="false" ht="15" hidden="false" customHeight="false" outlineLevel="0" collapsed="false">
      <c r="A18" s="14" t="s">
        <v>62</v>
      </c>
      <c r="B18" s="15" t="n">
        <f aca="false">B5*B6*B7/1000</f>
        <v>5520</v>
      </c>
      <c r="C18" s="15" t="n">
        <f aca="false">B18*(1+$B$15)</f>
        <v>6900</v>
      </c>
      <c r="D18" s="15" t="n">
        <f aca="false">C18*(1+$B$15)</f>
        <v>8625</v>
      </c>
      <c r="E18" s="15" t="n">
        <f aca="false">SUM(B18:D18)</f>
        <v>21045</v>
      </c>
    </row>
    <row r="19" customFormat="false" ht="15" hidden="false" customHeight="false" outlineLevel="0" collapsed="false">
      <c r="A19" s="14" t="s">
        <v>63</v>
      </c>
      <c r="B19" s="16" t="n">
        <f aca="false">B18*$B$8</f>
        <v>19320</v>
      </c>
      <c r="C19" s="16" t="n">
        <f aca="false">C18*$B$8</f>
        <v>24150</v>
      </c>
      <c r="D19" s="16" t="n">
        <f aca="false">D18*$B$8</f>
        <v>30187.5</v>
      </c>
      <c r="E19" s="16" t="n">
        <f aca="false">SUM(B19:D19)</f>
        <v>73657.5</v>
      </c>
    </row>
    <row r="20" customFormat="false" ht="15" hidden="false" customHeight="false" outlineLevel="0" collapsed="false">
      <c r="A20" s="14" t="s">
        <v>64</v>
      </c>
      <c r="B20" s="16" t="n">
        <f aca="false">$B$11+$B$12*$B$13+B18*$B$14</f>
        <v>881932</v>
      </c>
      <c r="C20" s="16" t="n">
        <f aca="false">$B$11+$B$12*$B$13+C18*$B$14</f>
        <v>882415</v>
      </c>
      <c r="D20" s="16" t="n">
        <f aca="false">$B$11+$B$12*$B$13+D18*$B$14</f>
        <v>883018.75</v>
      </c>
      <c r="E20" s="16" t="n">
        <f aca="false">SUM(B20:D20)</f>
        <v>2647365.75</v>
      </c>
    </row>
    <row r="22" customFormat="false" ht="15" hidden="false" customHeight="false" outlineLevel="0" collapsed="false">
      <c r="A22" s="14" t="s">
        <v>65</v>
      </c>
      <c r="B22" s="17" t="n">
        <f aca="false">E19/(E18*1000*B9)</f>
        <v>0.00426829268292683</v>
      </c>
    </row>
    <row r="23" customFormat="false" ht="15" hidden="false" customHeight="false" outlineLevel="0" collapsed="false">
      <c r="A23" s="14" t="s">
        <v>66</v>
      </c>
      <c r="B23" s="17" t="n">
        <f aca="false">E20/(E18*1000*B10)</f>
        <v>0.169993883762594</v>
      </c>
    </row>
    <row r="24" customFormat="false" ht="15" hidden="false" customHeight="false" outlineLevel="0" collapsed="false">
      <c r="A24" s="14" t="s">
        <v>67</v>
      </c>
      <c r="B24" s="15" t="n">
        <f aca="false">IF(B8&lt;=B14,"NEVER",($B$11+$B$12*$B$13)/($B$8-$B$14))</f>
        <v>279365.079365079</v>
      </c>
    </row>
    <row r="25" customFormat="false" ht="15" hidden="false" customHeight="false" outlineLevel="0" collapsed="false">
      <c r="A25" s="14" t="s">
        <v>68</v>
      </c>
      <c r="B25" s="14" t="str">
        <f aca="false">IF(ISNUMBER(B24),IF(B18&gt;=B24,"ABOVE: self-host is cheaper at this volume","BELOW: hosted is cheaper at this volume"),"Hosted always cheaper")</f>
        <v>BELOW: hosted is cheaper at this volume</v>
      </c>
    </row>
    <row r="27" customFormat="false" ht="15" hidden="false" customHeight="false" outlineLevel="0" collapsed="false">
      <c r="A27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2026-10-13T17:27:04Z</dcterms:created>
  <dc:creator>openpyxl</dc:creator>
  <dc:description/>
  <dc:language>en-US</dc:language>
  <cp:lastModifiedBy/>
  <dcterms:modified xsi:type="dcterms:W3CDTF">2026-10-13T17:27:04Z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